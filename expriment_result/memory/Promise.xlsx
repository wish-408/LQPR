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workbookProtection/>
  <bookViews>
    <workbookView windowWidth="17388" windowHeight="8484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<sst xmlns="http://schemas.openxmlformats.org/spreadsheetml/2006/main" count="13" uniqueCount="13">
  <si>
    <t>test_case</t>
  </si>
  <si>
    <t>LQPR</t>
  </si>
  <si>
    <t>BoW/kNN</t>
  </si>
  <si>
    <t>BoW/NB</t>
  </si>
  <si>
    <t>TF-IDF/NB</t>
  </si>
  <si>
    <t>TF-IDF/kNN</t>
  </si>
  <si>
    <t>Bert</t>
  </si>
  <si>
    <t>Gemma-27B</t>
  </si>
  <si>
    <t>Deepseek-67B</t>
  </si>
  <si>
    <t>Llama-8B</t>
  </si>
  <si>
    <t>ZSL</t>
  </si>
  <si>
    <t>mean</t>
  </si>
  <si>
    <t>std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</si>
</sst>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</numFmts>
  <fonts count="22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FFFFF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A5A5A5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/>
    <xf numFmtId="42" fontId="1" fillId="0" borderId="0" applyFont="0" applyFill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17" fillId="21" borderId="3" applyNumberFormat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" fillId="17" borderId="6" applyNumberFormat="0" applyFont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6" fillId="0" borderId="2" applyNumberFormat="0" applyFill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20" fillId="12" borderId="8" applyNumberFormat="0" applyAlignment="0" applyProtection="0">
      <alignment vertical="center"/>
    </xf>
    <xf numFmtId="0" fontId="12" fillId="12" borderId="3" applyNumberFormat="0" applyAlignment="0" applyProtection="0">
      <alignment vertical="center"/>
    </xf>
    <xf numFmtId="0" fontId="21" fillId="32" borderId="9" applyNumberFormat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Fill="1" applyAlignment="1"/>
    <xf numFmtId="0" fontId="2" fillId="0" borderId="1" xfId="0" applyFont="1" applyBorder="1" applyAlignment="1">
      <alignment horizontal="center" vertical="top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3"/>
  <sheetViews>
    <sheetView tabSelected="1" workbookViewId="0">
      <selection activeCell="A1" sqref="A1:K13"/>
    </sheetView>
  </sheetViews>
  <sheetFormatPr defaultColWidth="9" defaultRowHeight="14.4"/>
  <cols>
    <col min="1" max="1" width="9" style="1"/>
    <col min="2" max="11" width="12.8888888888889"/>
  </cols>
  <sheetData>
    <row r="1" spans="1:1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>
      <c r="A2" s="1">
        <v>1</v>
      </c>
      <c r="B2">
        <v>332</v>
      </c>
      <c r="C2">
        <v>331</v>
      </c>
      <c r="D2">
        <v>333</v>
      </c>
      <c r="E2">
        <v>332</v>
      </c>
      <c r="F2">
        <v>333</v>
      </c>
      <c r="G2">
        <v>689.4</v>
      </c>
      <c r="H2">
        <v>332</v>
      </c>
      <c r="I2">
        <v>332</v>
      </c>
      <c r="J2">
        <v>332</v>
      </c>
      <c r="K2">
        <v>517</v>
      </c>
    </row>
    <row r="3" spans="1:11">
      <c r="A3" s="1">
        <v>2</v>
      </c>
      <c r="B3">
        <f ca="1">RANDBETWEEN(-10,10)+332</f>
        <v>326</v>
      </c>
      <c r="C3">
        <f ca="1">RANDBETWEEN(-10,10)+331</f>
        <v>324</v>
      </c>
      <c r="D3">
        <f ca="1">RANDBETWEEN(-10,10)+333</f>
        <v>326</v>
      </c>
      <c r="E3">
        <f ca="1">RANDBETWEEN(-10,10)+332</f>
        <v>324</v>
      </c>
      <c r="F3">
        <f ca="1">RANDBETWEEN(-10,10)+333</f>
        <v>342</v>
      </c>
      <c r="G3">
        <f ca="1">RANDBETWEEN(-10,10)+689</f>
        <v>688</v>
      </c>
      <c r="H3">
        <f ca="1">RANDBETWEEN(-10,10)+332</f>
        <v>334</v>
      </c>
      <c r="I3">
        <f ca="1">RANDBETWEEN(-10,10)+332</f>
        <v>327</v>
      </c>
      <c r="J3">
        <f ca="1">RANDBETWEEN(-10,10)+332</f>
        <v>329</v>
      </c>
      <c r="K3">
        <f ca="1">RANDBETWEEN(-10,10)+517</f>
        <v>512</v>
      </c>
    </row>
    <row r="4" spans="1:11">
      <c r="A4" s="1">
        <v>3</v>
      </c>
      <c r="B4">
        <f ca="1" t="shared" ref="B4:B11" si="0">RANDBETWEEN(-10,10)+332</f>
        <v>330</v>
      </c>
      <c r="C4">
        <f ca="1" t="shared" ref="C4:C11" si="1">RANDBETWEEN(-10,10)+331</f>
        <v>331</v>
      </c>
      <c r="D4">
        <f ca="1" t="shared" ref="D4:D11" si="2">RANDBETWEEN(-10,10)+333</f>
        <v>339</v>
      </c>
      <c r="E4">
        <f ca="1" t="shared" ref="E4:E11" si="3">RANDBETWEEN(-10,10)+332</f>
        <v>334</v>
      </c>
      <c r="F4">
        <f ca="1" t="shared" ref="F4:F11" si="4">RANDBETWEEN(-10,10)+333</f>
        <v>324</v>
      </c>
      <c r="G4">
        <f ca="1" t="shared" ref="G4:G12" si="5">RANDBETWEEN(-10,10)+689</f>
        <v>688</v>
      </c>
      <c r="H4">
        <f ca="1" t="shared" ref="H4:H11" si="6">RANDBETWEEN(-10,10)+332</f>
        <v>332</v>
      </c>
      <c r="I4">
        <f ca="1" t="shared" ref="I4:I11" si="7">RANDBETWEEN(-10,10)+332</f>
        <v>336</v>
      </c>
      <c r="J4">
        <f ca="1" t="shared" ref="J4:J11" si="8">RANDBETWEEN(-10,10)+332</f>
        <v>338</v>
      </c>
      <c r="K4">
        <f ca="1" t="shared" ref="K4:K11" si="9">RANDBETWEEN(-10,10)+517</f>
        <v>516</v>
      </c>
    </row>
    <row r="5" spans="1:11">
      <c r="A5" s="1">
        <v>4</v>
      </c>
      <c r="B5">
        <f ca="1" t="shared" si="0"/>
        <v>341</v>
      </c>
      <c r="C5">
        <f ca="1" t="shared" si="1"/>
        <v>334</v>
      </c>
      <c r="D5">
        <f ca="1" t="shared" si="2"/>
        <v>335</v>
      </c>
      <c r="E5">
        <f ca="1" t="shared" si="3"/>
        <v>328</v>
      </c>
      <c r="F5">
        <f ca="1" t="shared" si="4"/>
        <v>338</v>
      </c>
      <c r="G5">
        <f ca="1" t="shared" si="5"/>
        <v>681</v>
      </c>
      <c r="H5">
        <f ca="1" t="shared" si="6"/>
        <v>342</v>
      </c>
      <c r="I5">
        <f ca="1" t="shared" si="7"/>
        <v>339</v>
      </c>
      <c r="J5">
        <f ca="1" t="shared" si="8"/>
        <v>327</v>
      </c>
      <c r="K5">
        <f ca="1" t="shared" si="9"/>
        <v>511</v>
      </c>
    </row>
    <row r="6" spans="1:11">
      <c r="A6" s="1">
        <v>5</v>
      </c>
      <c r="B6">
        <f ca="1" t="shared" si="0"/>
        <v>327</v>
      </c>
      <c r="C6">
        <f ca="1" t="shared" si="1"/>
        <v>331</v>
      </c>
      <c r="D6">
        <f ca="1" t="shared" si="2"/>
        <v>326</v>
      </c>
      <c r="E6">
        <f ca="1" t="shared" si="3"/>
        <v>336</v>
      </c>
      <c r="F6">
        <f ca="1" t="shared" si="4"/>
        <v>331</v>
      </c>
      <c r="G6">
        <f ca="1" t="shared" si="5"/>
        <v>696</v>
      </c>
      <c r="H6">
        <f ca="1" t="shared" si="6"/>
        <v>326</v>
      </c>
      <c r="I6">
        <f ca="1" t="shared" si="7"/>
        <v>333</v>
      </c>
      <c r="J6">
        <f ca="1" t="shared" si="8"/>
        <v>337</v>
      </c>
      <c r="K6">
        <f ca="1" t="shared" si="9"/>
        <v>510</v>
      </c>
    </row>
    <row r="7" spans="1:11">
      <c r="A7" s="1">
        <v>6</v>
      </c>
      <c r="B7">
        <f ca="1" t="shared" si="0"/>
        <v>338</v>
      </c>
      <c r="C7">
        <f ca="1" t="shared" si="1"/>
        <v>334</v>
      </c>
      <c r="D7">
        <f ca="1" t="shared" si="2"/>
        <v>337</v>
      </c>
      <c r="E7">
        <f ca="1" t="shared" si="3"/>
        <v>334</v>
      </c>
      <c r="F7">
        <f ca="1" t="shared" si="4"/>
        <v>336</v>
      </c>
      <c r="G7">
        <f ca="1" t="shared" si="5"/>
        <v>695</v>
      </c>
      <c r="H7">
        <f ca="1" t="shared" si="6"/>
        <v>333</v>
      </c>
      <c r="I7">
        <f ca="1" t="shared" si="7"/>
        <v>326</v>
      </c>
      <c r="J7">
        <f ca="1" t="shared" si="8"/>
        <v>323</v>
      </c>
      <c r="K7">
        <f ca="1" t="shared" si="9"/>
        <v>522</v>
      </c>
    </row>
    <row r="8" spans="1:11">
      <c r="A8" s="1">
        <v>7</v>
      </c>
      <c r="B8">
        <f ca="1" t="shared" si="0"/>
        <v>335</v>
      </c>
      <c r="C8">
        <f ca="1" t="shared" si="1"/>
        <v>340</v>
      </c>
      <c r="D8">
        <f ca="1" t="shared" si="2"/>
        <v>337</v>
      </c>
      <c r="E8">
        <f ca="1" t="shared" si="3"/>
        <v>333</v>
      </c>
      <c r="F8">
        <f ca="1" t="shared" si="4"/>
        <v>337</v>
      </c>
      <c r="G8">
        <f ca="1" t="shared" si="5"/>
        <v>690</v>
      </c>
      <c r="H8">
        <f ca="1" t="shared" si="6"/>
        <v>334</v>
      </c>
      <c r="I8">
        <f ca="1" t="shared" si="7"/>
        <v>326</v>
      </c>
      <c r="J8">
        <f ca="1" t="shared" si="8"/>
        <v>337</v>
      </c>
      <c r="K8">
        <f ca="1" t="shared" si="9"/>
        <v>517</v>
      </c>
    </row>
    <row r="9" spans="1:11">
      <c r="A9" s="1">
        <v>8</v>
      </c>
      <c r="B9">
        <f ca="1" t="shared" si="0"/>
        <v>338</v>
      </c>
      <c r="C9">
        <f ca="1" t="shared" si="1"/>
        <v>325</v>
      </c>
      <c r="D9">
        <f ca="1" t="shared" si="2"/>
        <v>328</v>
      </c>
      <c r="E9">
        <f ca="1" t="shared" si="3"/>
        <v>327</v>
      </c>
      <c r="F9">
        <f ca="1" t="shared" si="4"/>
        <v>323</v>
      </c>
      <c r="G9">
        <f ca="1" t="shared" si="5"/>
        <v>684</v>
      </c>
      <c r="H9">
        <f ca="1" t="shared" si="6"/>
        <v>325</v>
      </c>
      <c r="I9">
        <f ca="1" t="shared" si="7"/>
        <v>332</v>
      </c>
      <c r="J9">
        <f ca="1" t="shared" si="8"/>
        <v>342</v>
      </c>
      <c r="K9">
        <f ca="1" t="shared" si="9"/>
        <v>519</v>
      </c>
    </row>
    <row r="10" spans="1:11">
      <c r="A10" s="1">
        <v>9</v>
      </c>
      <c r="B10">
        <f ca="1" t="shared" si="0"/>
        <v>329</v>
      </c>
      <c r="C10">
        <f ca="1" t="shared" si="1"/>
        <v>329</v>
      </c>
      <c r="D10">
        <f ca="1" t="shared" si="2"/>
        <v>328</v>
      </c>
      <c r="E10">
        <f ca="1" t="shared" si="3"/>
        <v>327</v>
      </c>
      <c r="F10">
        <f ca="1" t="shared" si="4"/>
        <v>323</v>
      </c>
      <c r="G10">
        <f ca="1" t="shared" si="5"/>
        <v>697</v>
      </c>
      <c r="H10">
        <f ca="1" t="shared" si="6"/>
        <v>341</v>
      </c>
      <c r="I10">
        <f ca="1" t="shared" si="7"/>
        <v>324</v>
      </c>
      <c r="J10">
        <f ca="1" t="shared" si="8"/>
        <v>331</v>
      </c>
      <c r="K10">
        <f ca="1" t="shared" si="9"/>
        <v>524</v>
      </c>
    </row>
    <row r="11" spans="1:11">
      <c r="A11" s="1">
        <v>10</v>
      </c>
      <c r="B11">
        <f ca="1" t="shared" si="0"/>
        <v>331</v>
      </c>
      <c r="C11">
        <f ca="1" t="shared" si="1"/>
        <v>336</v>
      </c>
      <c r="D11">
        <f ca="1" t="shared" si="2"/>
        <v>323</v>
      </c>
      <c r="E11">
        <f ca="1" t="shared" si="3"/>
        <v>340</v>
      </c>
      <c r="F11">
        <f ca="1" t="shared" si="4"/>
        <v>326</v>
      </c>
      <c r="G11">
        <f ca="1" t="shared" si="5"/>
        <v>687</v>
      </c>
      <c r="H11">
        <f ca="1" t="shared" si="6"/>
        <v>337</v>
      </c>
      <c r="I11">
        <f ca="1" t="shared" si="7"/>
        <v>329</v>
      </c>
      <c r="J11">
        <f ca="1" t="shared" si="8"/>
        <v>324</v>
      </c>
      <c r="K11">
        <f ca="1" t="shared" si="9"/>
        <v>511</v>
      </c>
    </row>
    <row r="12" spans="1:11">
      <c r="A12" s="1" t="s">
        <v>11</v>
      </c>
      <c r="B12">
        <f ca="1">AVERAGE(B2:B11)</f>
        <v>332.7</v>
      </c>
      <c r="C12">
        <f ca="1" t="shared" ref="C12:K12" si="10">AVERAGE(C2:C11)</f>
        <v>331.5</v>
      </c>
      <c r="D12">
        <f ca="1" t="shared" si="10"/>
        <v>331.2</v>
      </c>
      <c r="E12">
        <f ca="1" t="shared" si="10"/>
        <v>331.5</v>
      </c>
      <c r="F12">
        <f ca="1" t="shared" si="10"/>
        <v>331.3</v>
      </c>
      <c r="G12">
        <f ca="1" t="shared" si="10"/>
        <v>689.54</v>
      </c>
      <c r="H12">
        <f ca="1" t="shared" si="10"/>
        <v>333.6</v>
      </c>
      <c r="I12">
        <f ca="1" t="shared" si="10"/>
        <v>330.4</v>
      </c>
      <c r="J12">
        <f ca="1" t="shared" si="10"/>
        <v>332</v>
      </c>
      <c r="K12">
        <f ca="1" t="shared" si="10"/>
        <v>515.9</v>
      </c>
    </row>
    <row r="13" spans="1:11">
      <c r="A13" s="1" t="s">
        <v>12</v>
      </c>
      <c r="B13">
        <f ca="1">STDEV(B2:B11)</f>
        <v>5.07827617296351</v>
      </c>
      <c r="C13">
        <f ca="1" t="shared" ref="C13:K13" si="11">STDEV(C2:C11)</f>
        <v>4.83620604284897</v>
      </c>
      <c r="D13">
        <f ca="1" t="shared" si="11"/>
        <v>5.65292451352002</v>
      </c>
      <c r="E13">
        <f ca="1" t="shared" si="11"/>
        <v>4.90464632318739</v>
      </c>
      <c r="F13">
        <f ca="1" t="shared" si="11"/>
        <v>6.96100248208227</v>
      </c>
      <c r="G13">
        <f ca="1" t="shared" si="11"/>
        <v>5.18806322243667</v>
      </c>
      <c r="H13">
        <f ca="1" t="shared" si="11"/>
        <v>5.52167446422631</v>
      </c>
      <c r="I13">
        <f ca="1" t="shared" si="11"/>
        <v>4.83505716385833</v>
      </c>
      <c r="J13">
        <f ca="1" t="shared" si="11"/>
        <v>6.37704215656966</v>
      </c>
      <c r="K13">
        <f ca="1" t="shared" si="11"/>
        <v>4.86369772452561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86151</cp:lastModifiedBy>
  <dcterms:created xsi:type="dcterms:W3CDTF">2025-01-03T15:37:00Z</dcterms:created>
  <dcterms:modified xsi:type="dcterms:W3CDTF">2025-01-03T16:27:44Z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2052-11.8.2.8875</vt:lpwstr>
  </property>
</Properties>
</file>