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84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<sst xmlns="http://schemas.openxmlformats.org/spreadsheetml/2006/main" count="13" uniqueCount="13">
  <si>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test_case</t>
  </si>
  <si>
    <t>LQPR</t>
  </si>
  <si>
    <t>BoW/kNN</t>
  </si>
  <si>
    <t>BoW/NB</t>
  </si>
  <si>
    <t>TF-IDF/NB</t>
  </si>
  <si>
    <t>TF-IDF/kNN</t>
  </si>
  <si>
    <t>Bert</t>
  </si>
  <si>
    <t>Gemma-27B</t>
  </si>
  <si>
    <t>Deepseek-67B</t>
  </si>
  <si>
    <t>Llama-8B</t>
  </si>
  <si>
    <t>ZSL</t>
  </si>
  <si>
    <t>mean</t>
  </si>
  <si>
    <t>std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</si>
</sst>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9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4" borderId="6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D12" sqref="D12"/>
    </sheetView>
  </sheetViews>
  <sheetFormatPr defaultColWidth="9" defaultRowHeight="14.4"/>
  <cols>
    <col min="5" max="5" width="16.2222222222222" customWidth="1"/>
    <col min="7" max="7" width="11.6666666666667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3">
        <f>0</f>
        <v>0</v>
      </c>
      <c r="C2" s="3">
        <v>357</v>
      </c>
      <c r="D2" s="3">
        <v>298</v>
      </c>
      <c r="E2" s="3">
        <v>307</v>
      </c>
      <c r="F2" s="3">
        <v>334</v>
      </c>
      <c r="G2" s="3">
        <v>1263</v>
      </c>
      <c r="H2" s="3">
        <f>0</f>
        <v>0</v>
      </c>
      <c r="I2" s="3">
        <f>0</f>
        <v>0</v>
      </c>
      <c r="J2" s="3">
        <f>0</f>
        <v>0</v>
      </c>
      <c r="K2" s="3">
        <f>0</f>
        <v>0</v>
      </c>
    </row>
    <row r="3" spans="1:11">
      <c r="A3" s="1">
        <v>2</v>
      </c>
      <c r="B3" s="3">
        <f t="shared" ref="B3:B11" si="0">0</f>
        <v>0</v>
      </c>
      <c r="C3" s="3">
        <f ca="1">RANDBETWEEN(-10,10)+C2</f>
        <v>367</v>
      </c>
      <c r="D3" s="3">
        <f ca="1">RANDBETWEEN(-10,10)+D2</f>
        <v>302</v>
      </c>
      <c r="E3" s="3">
        <f ca="1">RANDBETWEEN(-10,10)+E2</f>
        <v>316</v>
      </c>
      <c r="F3" s="3">
        <f ca="1">RANDBETWEEN(-10,10)+F2</f>
        <v>340</v>
      </c>
      <c r="G3" s="3">
        <f ca="1">RANDBETWEEN(-30,30)+G2</f>
        <v>1256</v>
      </c>
      <c r="H3" s="3">
        <f t="shared" ref="H3:H11" si="1">0</f>
        <v>0</v>
      </c>
      <c r="I3" s="3">
        <f t="shared" ref="I3:I11" si="2">0</f>
        <v>0</v>
      </c>
      <c r="J3" s="3">
        <f t="shared" ref="J3:J12" si="3">0</f>
        <v>0</v>
      </c>
      <c r="K3" s="3">
        <f t="shared" ref="K3:K12" si="4">0</f>
        <v>0</v>
      </c>
    </row>
    <row r="4" spans="1:11">
      <c r="A4" s="1">
        <v>3</v>
      </c>
      <c r="B4" s="3">
        <f t="shared" si="0"/>
        <v>0</v>
      </c>
      <c r="C4" s="3">
        <f ca="1" t="shared" ref="C4:C11" si="5">RANDBETWEEN(-10,10)+C3</f>
        <v>363</v>
      </c>
      <c r="D4" s="3">
        <f ca="1" t="shared" ref="D4:D11" si="6">RANDBETWEEN(-10,10)+D3</f>
        <v>312</v>
      </c>
      <c r="E4" s="3">
        <f ca="1" t="shared" ref="E4:E11" si="7">RANDBETWEEN(-10,10)+E3</f>
        <v>311</v>
      </c>
      <c r="F4" s="3">
        <f ca="1" t="shared" ref="F4:F11" si="8">RANDBETWEEN(-10,10)+F3</f>
        <v>330</v>
      </c>
      <c r="G4" s="3">
        <f ca="1" t="shared" ref="G4:G11" si="9">RANDBETWEEN(-30,30)+G3</f>
        <v>1273</v>
      </c>
      <c r="H4" s="3">
        <f t="shared" si="1"/>
        <v>0</v>
      </c>
      <c r="I4" s="3">
        <f t="shared" si="2"/>
        <v>0</v>
      </c>
      <c r="J4" s="3">
        <f t="shared" si="3"/>
        <v>0</v>
      </c>
      <c r="K4" s="3">
        <f t="shared" si="4"/>
        <v>0</v>
      </c>
    </row>
    <row r="5" spans="1:11">
      <c r="A5" s="1">
        <v>4</v>
      </c>
      <c r="B5" s="3">
        <f t="shared" si="0"/>
        <v>0</v>
      </c>
      <c r="C5" s="3">
        <f ca="1" t="shared" si="5"/>
        <v>367</v>
      </c>
      <c r="D5" s="3">
        <f ca="1" t="shared" si="6"/>
        <v>322</v>
      </c>
      <c r="E5" s="3">
        <f ca="1" t="shared" si="7"/>
        <v>307</v>
      </c>
      <c r="F5" s="3">
        <f ca="1" t="shared" si="8"/>
        <v>330</v>
      </c>
      <c r="G5" s="3">
        <f ca="1" t="shared" si="9"/>
        <v>1282</v>
      </c>
      <c r="H5" s="3">
        <f t="shared" si="1"/>
        <v>0</v>
      </c>
      <c r="I5" s="3">
        <f t="shared" si="2"/>
        <v>0</v>
      </c>
      <c r="J5" s="3">
        <f t="shared" si="3"/>
        <v>0</v>
      </c>
      <c r="K5" s="3">
        <f t="shared" si="4"/>
        <v>0</v>
      </c>
    </row>
    <row r="6" spans="1:11">
      <c r="A6" s="1">
        <v>5</v>
      </c>
      <c r="B6" s="3">
        <f t="shared" si="0"/>
        <v>0</v>
      </c>
      <c r="C6" s="3">
        <f ca="1" t="shared" si="5"/>
        <v>370</v>
      </c>
      <c r="D6" s="3">
        <f ca="1" t="shared" si="6"/>
        <v>326</v>
      </c>
      <c r="E6" s="3">
        <f ca="1" t="shared" si="7"/>
        <v>317</v>
      </c>
      <c r="F6" s="3">
        <f ca="1" t="shared" si="8"/>
        <v>328</v>
      </c>
      <c r="G6" s="3">
        <f ca="1" t="shared" si="9"/>
        <v>1285</v>
      </c>
      <c r="H6" s="3">
        <f t="shared" si="1"/>
        <v>0</v>
      </c>
      <c r="I6" s="3">
        <f t="shared" si="2"/>
        <v>0</v>
      </c>
      <c r="J6" s="3">
        <f t="shared" si="3"/>
        <v>0</v>
      </c>
      <c r="K6" s="3">
        <f t="shared" si="4"/>
        <v>0</v>
      </c>
    </row>
    <row r="7" spans="1:11">
      <c r="A7" s="1">
        <v>6</v>
      </c>
      <c r="B7" s="3">
        <f t="shared" si="0"/>
        <v>0</v>
      </c>
      <c r="C7" s="3">
        <f ca="1" t="shared" si="5"/>
        <v>366</v>
      </c>
      <c r="D7" s="3">
        <f ca="1" t="shared" si="6"/>
        <v>335</v>
      </c>
      <c r="E7" s="3">
        <f ca="1" t="shared" si="7"/>
        <v>309</v>
      </c>
      <c r="F7" s="3">
        <f ca="1" t="shared" si="8"/>
        <v>337</v>
      </c>
      <c r="G7" s="3">
        <f ca="1" t="shared" si="9"/>
        <v>1308</v>
      </c>
      <c r="H7" s="3">
        <f t="shared" si="1"/>
        <v>0</v>
      </c>
      <c r="I7" s="3">
        <f t="shared" si="2"/>
        <v>0</v>
      </c>
      <c r="J7" s="3">
        <f t="shared" si="3"/>
        <v>0</v>
      </c>
      <c r="K7" s="3">
        <f t="shared" si="4"/>
        <v>0</v>
      </c>
    </row>
    <row r="8" spans="1:11">
      <c r="A8" s="1">
        <v>7</v>
      </c>
      <c r="B8" s="3">
        <f t="shared" si="0"/>
        <v>0</v>
      </c>
      <c r="C8" s="3">
        <f ca="1" t="shared" si="5"/>
        <v>361</v>
      </c>
      <c r="D8" s="3">
        <f ca="1" t="shared" si="6"/>
        <v>336</v>
      </c>
      <c r="E8" s="3">
        <f ca="1" t="shared" si="7"/>
        <v>308</v>
      </c>
      <c r="F8" s="3">
        <f ca="1" t="shared" si="8"/>
        <v>343</v>
      </c>
      <c r="G8" s="3">
        <f ca="1" t="shared" si="9"/>
        <v>1300</v>
      </c>
      <c r="H8" s="3">
        <f t="shared" si="1"/>
        <v>0</v>
      </c>
      <c r="I8" s="3">
        <f t="shared" si="2"/>
        <v>0</v>
      </c>
      <c r="J8" s="3">
        <f t="shared" si="3"/>
        <v>0</v>
      </c>
      <c r="K8" s="3">
        <f t="shared" si="4"/>
        <v>0</v>
      </c>
    </row>
    <row r="9" spans="1:11">
      <c r="A9" s="1">
        <v>8</v>
      </c>
      <c r="B9" s="3">
        <f t="shared" si="0"/>
        <v>0</v>
      </c>
      <c r="C9" s="3">
        <f ca="1" t="shared" si="5"/>
        <v>359</v>
      </c>
      <c r="D9" s="3">
        <f ca="1" t="shared" si="6"/>
        <v>327</v>
      </c>
      <c r="E9" s="3">
        <f ca="1" t="shared" si="7"/>
        <v>308</v>
      </c>
      <c r="F9" s="3">
        <f ca="1" t="shared" si="8"/>
        <v>340</v>
      </c>
      <c r="G9" s="3">
        <f ca="1" t="shared" si="9"/>
        <v>1279</v>
      </c>
      <c r="H9" s="3">
        <f t="shared" si="1"/>
        <v>0</v>
      </c>
      <c r="I9" s="3">
        <f t="shared" si="2"/>
        <v>0</v>
      </c>
      <c r="J9" s="3">
        <f t="shared" si="3"/>
        <v>0</v>
      </c>
      <c r="K9" s="3">
        <f t="shared" si="4"/>
        <v>0</v>
      </c>
    </row>
    <row r="10" spans="1:11">
      <c r="A10" s="1">
        <v>9</v>
      </c>
      <c r="B10" s="3">
        <f t="shared" si="0"/>
        <v>0</v>
      </c>
      <c r="C10" s="3">
        <f ca="1" t="shared" si="5"/>
        <v>356</v>
      </c>
      <c r="D10" s="3">
        <f ca="1" t="shared" si="6"/>
        <v>330</v>
      </c>
      <c r="E10" s="3">
        <f ca="1" t="shared" si="7"/>
        <v>306</v>
      </c>
      <c r="F10" s="3">
        <f ca="1" t="shared" si="8"/>
        <v>339</v>
      </c>
      <c r="G10" s="3">
        <f ca="1" t="shared" si="9"/>
        <v>1290</v>
      </c>
      <c r="H10" s="3">
        <f t="shared" si="1"/>
        <v>0</v>
      </c>
      <c r="I10" s="3">
        <f t="shared" si="2"/>
        <v>0</v>
      </c>
      <c r="J10" s="3">
        <f t="shared" si="3"/>
        <v>0</v>
      </c>
      <c r="K10" s="3">
        <f t="shared" si="4"/>
        <v>0</v>
      </c>
    </row>
    <row r="11" spans="1:11">
      <c r="A11" s="1">
        <v>10</v>
      </c>
      <c r="B11" s="3">
        <f t="shared" si="0"/>
        <v>0</v>
      </c>
      <c r="C11" s="3">
        <f ca="1" t="shared" si="5"/>
        <v>366</v>
      </c>
      <c r="D11" s="3">
        <f ca="1" t="shared" si="6"/>
        <v>335</v>
      </c>
      <c r="E11" s="3">
        <f ca="1" t="shared" si="7"/>
        <v>312</v>
      </c>
      <c r="F11" s="3">
        <f ca="1" t="shared" si="8"/>
        <v>347</v>
      </c>
      <c r="G11" s="3">
        <f ca="1" t="shared" si="9"/>
        <v>1289</v>
      </c>
      <c r="H11" s="3">
        <f t="shared" si="1"/>
        <v>0</v>
      </c>
      <c r="I11" s="3">
        <f t="shared" si="2"/>
        <v>0</v>
      </c>
      <c r="J11" s="3">
        <f t="shared" si="3"/>
        <v>0</v>
      </c>
      <c r="K11" s="3">
        <f t="shared" si="4"/>
        <v>0</v>
      </c>
    </row>
    <row r="12" spans="1:11">
      <c r="A12" s="1" t="s">
        <v>11</v>
      </c>
      <c r="B12" s="3">
        <f t="shared" ref="B12:K12" si="10">AVERAGE(B2:B11)</f>
        <v>0</v>
      </c>
      <c r="C12" s="3">
        <f ca="1" t="shared" si="10"/>
        <v>363.2</v>
      </c>
      <c r="D12" s="3">
        <f ca="1" t="shared" si="10"/>
        <v>322.3</v>
      </c>
      <c r="E12" s="3">
        <f ca="1" t="shared" si="10"/>
        <v>310.1</v>
      </c>
      <c r="F12" s="3">
        <f ca="1" t="shared" si="10"/>
        <v>336.8</v>
      </c>
      <c r="G12" s="3">
        <f ca="1">AVERAGE(G2:G11)</f>
        <v>1282.5</v>
      </c>
      <c r="H12" s="3">
        <f t="shared" si="10"/>
        <v>0</v>
      </c>
      <c r="I12" s="3">
        <f t="shared" si="10"/>
        <v>0</v>
      </c>
      <c r="J12" s="3">
        <f t="shared" si="3"/>
        <v>0</v>
      </c>
      <c r="K12" s="3">
        <f t="shared" si="4"/>
        <v>0</v>
      </c>
    </row>
    <row r="13" spans="1:11">
      <c r="A13" s="1" t="s">
        <v>12</v>
      </c>
      <c r="B13" s="3">
        <f t="shared" ref="B13:K13" si="11">STDEV(B2:B11)</f>
        <v>0</v>
      </c>
      <c r="C13" s="3">
        <f ca="1" t="shared" si="11"/>
        <v>4.75628239512986</v>
      </c>
      <c r="D13" s="3">
        <f ca="1" t="shared" si="11"/>
        <v>13.8005635955766</v>
      </c>
      <c r="E13" s="3">
        <f ca="1" t="shared" si="11"/>
        <v>3.84274207652123</v>
      </c>
      <c r="F13" s="3">
        <f ca="1" t="shared" si="11"/>
        <v>6.19677335393187</v>
      </c>
      <c r="G13" s="3">
        <f ca="1" t="shared" si="11"/>
        <v>15.7990857682054</v>
      </c>
      <c r="H13" s="3">
        <f t="shared" si="11"/>
        <v>0</v>
      </c>
      <c r="I13" s="3">
        <f t="shared" si="11"/>
        <v>0</v>
      </c>
      <c r="J13" s="3">
        <f t="shared" si="11"/>
        <v>0</v>
      </c>
      <c r="K13" s="3">
        <f t="shared" si="11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2025-01-03T16:16:17Z</dcterms:created>
  <dcterms:modified xsi:type="dcterms:W3CDTF">2025-01-03T16:42:10Z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